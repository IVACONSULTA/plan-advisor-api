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ercruz\Downloads\"/>
    </mc:Choice>
  </mc:AlternateContent>
  <xr:revisionPtr revIDLastSave="0" documentId="13_ncr:1_{3A8E02EF-E942-4BD3-A5FF-7CD8B77E6A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F17" i="1"/>
  <c r="F20" i="1"/>
  <c r="F19" i="1"/>
  <c r="F18" i="1"/>
  <c r="F16" i="1"/>
  <c r="F15" i="1"/>
  <c r="F14" i="1"/>
  <c r="F13" i="1"/>
  <c r="B6" i="1" l="1"/>
  <c r="E25" i="1" l="1"/>
  <c r="F25" i="1" s="1"/>
  <c r="G25" i="1" s="1"/>
  <c r="E26" i="1"/>
  <c r="F26" i="1" s="1"/>
  <c r="G26" i="1" s="1"/>
  <c r="E27" i="1"/>
  <c r="F27" i="1" s="1"/>
  <c r="G27" i="1" s="1"/>
  <c r="E28" i="1"/>
  <c r="F28" i="1" s="1"/>
  <c r="G28" i="1" s="1"/>
  <c r="E29" i="1"/>
  <c r="F29" i="1" s="1"/>
  <c r="G29" i="1" s="1"/>
  <c r="E30" i="1"/>
  <c r="F30" i="1" s="1"/>
  <c r="G30" i="1" s="1"/>
  <c r="E31" i="1"/>
  <c r="F31" i="1" s="1"/>
  <c r="G31" i="1" s="1"/>
  <c r="E32" i="1"/>
  <c r="F32" i="1" s="1"/>
  <c r="G32" i="1" s="1"/>
  <c r="E33" i="1"/>
  <c r="F33" i="1" s="1"/>
  <c r="G33" i="1" s="1"/>
  <c r="D6" i="1"/>
  <c r="D8" i="1" s="1"/>
  <c r="D7" i="1" l="1"/>
  <c r="B8" i="1" s="1"/>
</calcChain>
</file>

<file path=xl/sharedStrings.xml><?xml version="1.0" encoding="utf-8"?>
<sst xmlns="http://schemas.openxmlformats.org/spreadsheetml/2006/main" count="58" uniqueCount="47">
  <si>
    <t>France PA Transaction Plan Calculator</t>
  </si>
  <si>
    <t>Input the estimated annual volumes per client in the yellow cells. The workbook recommends the cheapest plan after overage.</t>
  </si>
  <si>
    <t>Issued invoices usually consume 2 PA transactions because the invoice and the fiscal report are both sent. Received invoices consume 1 PA transaction.</t>
  </si>
  <si>
    <t>Summary</t>
  </si>
  <si>
    <t>Total PA transactions</t>
  </si>
  <si>
    <t>Recommended plan</t>
  </si>
  <si>
    <t>Estimated annual cost</t>
  </si>
  <si>
    <t>Estimated monthly cost</t>
  </si>
  <si>
    <t>Overage cost in recommended plan</t>
  </si>
  <si>
    <t>Issued / Received</t>
  </si>
  <si>
    <t>Invoice / operation type</t>
  </si>
  <si>
    <t>France case</t>
  </si>
  <si>
    <t>PA transactions per item</t>
  </si>
  <si>
    <t>Calculated PA transactions</t>
  </si>
  <si>
    <t>Notes</t>
  </si>
  <si>
    <t>Issued</t>
  </si>
  <si>
    <t>B2B invoice to a French customer</t>
  </si>
  <si>
    <t>Domestic e-invoicing</t>
  </si>
  <si>
    <t>1 invoice sent + 1 fiscal report</t>
  </si>
  <si>
    <t>Credit note / corrective invoice to a French customer</t>
  </si>
  <si>
    <t>1 document sent + 1 fiscal report</t>
  </si>
  <si>
    <t>B2B invoice to a foreign customer</t>
  </si>
  <si>
    <t>E-reporting</t>
  </si>
  <si>
    <t>B2C invoice to a French consumer</t>
  </si>
  <si>
    <t>B2C e-reporting</t>
  </si>
  <si>
    <t>Invoice-by-invoice model</t>
  </si>
  <si>
    <t>Reportable payments, where VAT is due on collection</t>
  </si>
  <si>
    <t>Payment e-reporting</t>
  </si>
  <si>
    <t>1 payment report when applicable</t>
  </si>
  <si>
    <t>Received</t>
  </si>
  <si>
    <t>Invoice from a French supplier</t>
  </si>
  <si>
    <t>Incoming domestic e-invoicing</t>
  </si>
  <si>
    <t>1 invoice received</t>
  </si>
  <si>
    <t>Invoice from a foreign supplier</t>
  </si>
  <si>
    <t>International purchase e-reporting</t>
  </si>
  <si>
    <t>Daily reporting for foreign supplier invoices</t>
  </si>
  <si>
    <t>Enter annual number of days where daily reporting applies</t>
  </si>
  <si>
    <t>Plan comparison</t>
  </si>
  <si>
    <t>Plan</t>
  </si>
  <si>
    <t>PA transaction allowance</t>
  </si>
  <si>
    <t>Annual fee per client</t>
  </si>
  <si>
    <t>Overage cost</t>
  </si>
  <si>
    <t>Please, only fill Annual estimated count column:</t>
  </si>
  <si>
    <t>Annual estimated count of invoices</t>
  </si>
  <si>
    <t>Total invoices</t>
  </si>
  <si>
    <t>Extra transaction</t>
  </si>
  <si>
    <t>Overage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</si>
</sst>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\€#,##0.00"/>
    <numFmt numFmtId="166" formatCode="\€#,##0"/>
    <numFmt numFmtId="167" formatCode="\€0.000"/>
  </numFmts>
  <fonts count="5">
    <font>
      <sz val="11"/>
      <name val="Carlito"/>
    </font>
    <font>
      <b/>
      <sz val="16"/>
      <color rgb="FF1F4E79"/>
      <name val="Carlito"/>
    </font>
    <font>
      <b/>
      <sz val="11"/>
      <color rgb="FF375623"/>
      <name val="Carlito"/>
    </font>
    <font>
      <b/>
      <sz val="11"/>
      <color rgb="FF1F1F1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1" fontId="0" fillId="2" borderId="2" xfId="0" applyNumberForma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 wrapText="1"/>
    </xf>
    <xf numFmtId="1" fontId="0" fillId="3" borderId="2" xfId="0" applyNumberFormat="1" applyFill="1" applyBorder="1" applyAlignment="1">
      <alignment horizontal="right" vertical="center" wrapText="1"/>
    </xf>
    <xf numFmtId="0" fontId="0" fillId="3" borderId="2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0" fillId="2" borderId="2" xfId="0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right" vertical="center" wrapText="1"/>
    </xf>
    <xf numFmtId="166" fontId="0" fillId="2" borderId="2" xfId="0" applyNumberFormat="1" applyFill="1" applyBorder="1" applyAlignment="1">
      <alignment horizontal="right" vertical="center" wrapText="1"/>
    </xf>
    <xf numFmtId="167" fontId="0" fillId="2" borderId="2" xfId="0" applyNumberFormat="1" applyFill="1" applyBorder="1" applyAlignment="1">
      <alignment horizontal="right" vertical="center" wrapText="1"/>
    </xf>
    <xf numFmtId="164" fontId="0" fillId="2" borderId="2" xfId="0" applyNumberFormat="1" applyFill="1" applyBorder="1" applyAlignment="1">
      <alignment horizontal="right" vertical="center" wrapText="1"/>
    </xf>
    <xf numFmtId="165" fontId="0" fillId="2" borderId="2" xfId="0" applyNumberFormat="1" applyFill="1" applyBorder="1" applyAlignment="1">
      <alignment horizontal="right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165" fontId="4" fillId="4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6" workbookViewId="0">
      <selection activeCell="B17" sqref="B17"/>
    </sheetView>
  </sheetViews>
  <sheetFormatPr baseColWidth="10" defaultColWidth="9" defaultRowHeight="14.25"/>
  <cols>
    <col min="1" max="1" width="24" style="5" customWidth="1"/>
    <col min="2" max="2" width="46" style="5" customWidth="1"/>
    <col min="3" max="3" width="32" style="5" customWidth="1"/>
    <col min="4" max="4" width="22" style="5" customWidth="1"/>
    <col min="5" max="5" width="30" style="5" customWidth="1"/>
    <col min="6" max="6" width="22" style="5" customWidth="1"/>
    <col min="7" max="7" width="25.375" style="5" bestFit="1" customWidth="1"/>
    <col min="8" max="8" width="42" style="5" customWidth="1"/>
    <col min="9" max="16384" width="9" style="5"/>
  </cols>
  <sheetData>
    <row r="1" spans="1:8" s="2" customFormat="1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ht="21.95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 s="2" customFormat="1" ht="21.95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s="2" customFormat="1" ht="21.95" customHeight="1">
      <c r="A4" s="3"/>
      <c r="B4" s="3"/>
      <c r="C4" s="3"/>
      <c r="D4" s="3"/>
      <c r="E4" s="3"/>
      <c r="F4" s="3"/>
      <c r="G4" s="3"/>
      <c r="H4" s="3"/>
    </row>
    <row r="5" spans="1:8" ht="30" customHeight="1">
      <c r="A5" s="4" t="s">
        <v>3</v>
      </c>
      <c r="B5" s="4"/>
      <c r="C5" s="4"/>
      <c r="D5" s="4"/>
      <c r="E5" s="4"/>
      <c r="F5" s="4"/>
      <c r="G5" s="4"/>
      <c r="H5" s="4"/>
    </row>
    <row r="6" spans="1:8" ht="21.95" customHeight="1">
      <c r="A6" s="6" t="s">
        <v>4</v>
      </c>
      <c r="B6" s="20">
        <f>SUM(F13:F20)</f>
        <v>7800</v>
      </c>
      <c r="C6" s="22" t="s">
        <v>5</v>
      </c>
      <c r="D6" s="22">
        <f>INDEX(A24:A32,MATCH(MIN(G24:G32),G24:G32,0))</f>
        <v>3</v>
      </c>
      <c r="E6" s="7"/>
      <c r="F6" s="7"/>
      <c r="G6" s="7"/>
      <c r="H6" s="7"/>
    </row>
    <row r="7" spans="1:8" ht="33.950000000000003" customHeight="1">
      <c r="A7" s="6" t="s">
        <v>44</v>
      </c>
      <c r="B7" s="20">
        <f>SUM(D13:D20)</f>
        <v>6900</v>
      </c>
      <c r="C7" s="22" t="s">
        <v>6</v>
      </c>
      <c r="D7" s="23">
        <f>MIN(G24:G32)</f>
        <v>1351.2</v>
      </c>
      <c r="E7" s="7"/>
      <c r="F7" s="7"/>
      <c r="G7" s="7"/>
      <c r="H7" s="7"/>
    </row>
    <row r="8" spans="1:8" ht="33.950000000000003" customHeight="1">
      <c r="A8" s="6" t="s">
        <v>7</v>
      </c>
      <c r="B8" s="21">
        <f>D7/12</f>
        <v>112.60000000000001</v>
      </c>
      <c r="C8" s="22" t="s">
        <v>8</v>
      </c>
      <c r="D8" s="23">
        <f>INDEX(F24:F32,MATCH(D6,A24:A32,0))</f>
        <v>133.19999999999999</v>
      </c>
      <c r="E8" s="7"/>
      <c r="F8" s="7"/>
      <c r="G8" s="7"/>
      <c r="H8" s="7"/>
    </row>
    <row r="9" spans="1:8" ht="21.95" customHeight="1">
      <c r="A9" s="6"/>
      <c r="B9" s="6"/>
      <c r="C9" s="6"/>
      <c r="D9" s="6"/>
      <c r="E9" s="7"/>
      <c r="F9" s="7"/>
      <c r="G9" s="7"/>
      <c r="H9" s="7"/>
    </row>
    <row r="10" spans="1:8" ht="21.95" customHeight="1">
      <c r="A10" s="7"/>
      <c r="B10" s="7"/>
      <c r="C10" s="7"/>
      <c r="D10" s="7"/>
      <c r="E10" s="7"/>
      <c r="F10" s="7"/>
      <c r="G10" s="7"/>
      <c r="H10" s="7"/>
    </row>
    <row r="11" spans="1:8" ht="21.95" customHeight="1">
      <c r="A11" s="24" t="s">
        <v>42</v>
      </c>
      <c r="B11" s="7"/>
      <c r="C11" s="7"/>
      <c r="D11" s="7"/>
      <c r="E11" s="7"/>
      <c r="F11" s="7"/>
      <c r="G11" s="7"/>
      <c r="H11" s="7"/>
    </row>
    <row r="12" spans="1:8" ht="30" customHeight="1">
      <c r="A12" s="9" t="s">
        <v>9</v>
      </c>
      <c r="B12" s="9" t="s">
        <v>10</v>
      </c>
      <c r="C12" s="9" t="s">
        <v>11</v>
      </c>
      <c r="D12" s="9" t="s">
        <v>43</v>
      </c>
      <c r="E12" s="9" t="s">
        <v>12</v>
      </c>
      <c r="F12" s="9" t="s">
        <v>13</v>
      </c>
      <c r="G12" s="9" t="s">
        <v>14</v>
      </c>
    </row>
    <row r="13" spans="1:8" ht="21.95" customHeight="1">
      <c r="A13" s="11" t="s">
        <v>15</v>
      </c>
      <c r="B13" s="11" t="s">
        <v>16</v>
      </c>
      <c r="C13" s="11" t="s">
        <v>17</v>
      </c>
      <c r="D13" s="8">
        <v>500</v>
      </c>
      <c r="E13" s="10">
        <v>2</v>
      </c>
      <c r="F13" s="10">
        <f t="shared" ref="F13:F20" si="0">D13*E13</f>
        <v>1000</v>
      </c>
      <c r="G13" s="11" t="s">
        <v>18</v>
      </c>
    </row>
    <row r="14" spans="1:8" ht="33.950000000000003" customHeight="1">
      <c r="A14" s="11" t="s">
        <v>15</v>
      </c>
      <c r="B14" s="11" t="s">
        <v>19</v>
      </c>
      <c r="C14" s="11" t="s">
        <v>17</v>
      </c>
      <c r="D14" s="8">
        <v>400</v>
      </c>
      <c r="E14" s="10">
        <v>2</v>
      </c>
      <c r="F14" s="10">
        <f t="shared" si="0"/>
        <v>800</v>
      </c>
      <c r="G14" s="11" t="s">
        <v>20</v>
      </c>
    </row>
    <row r="15" spans="1:8" ht="21.95" customHeight="1">
      <c r="A15" s="11" t="s">
        <v>15</v>
      </c>
      <c r="B15" s="11" t="s">
        <v>21</v>
      </c>
      <c r="C15" s="11" t="s">
        <v>22</v>
      </c>
      <c r="D15" s="8"/>
      <c r="E15" s="10">
        <v>2</v>
      </c>
      <c r="F15" s="10">
        <f t="shared" si="0"/>
        <v>0</v>
      </c>
      <c r="G15" s="11" t="s">
        <v>18</v>
      </c>
    </row>
    <row r="16" spans="1:8" ht="21.95" customHeight="1">
      <c r="A16" s="11" t="s">
        <v>15</v>
      </c>
      <c r="B16" s="11" t="s">
        <v>23</v>
      </c>
      <c r="C16" s="11" t="s">
        <v>24</v>
      </c>
      <c r="D16" s="8"/>
      <c r="E16" s="10">
        <v>2</v>
      </c>
      <c r="F16" s="10">
        <f t="shared" si="0"/>
        <v>0</v>
      </c>
      <c r="G16" s="11" t="s">
        <v>25</v>
      </c>
    </row>
    <row r="17" spans="1:8" ht="33.950000000000003" customHeight="1">
      <c r="A17" s="11" t="s">
        <v>15</v>
      </c>
      <c r="B17" s="11" t="s">
        <v>26</v>
      </c>
      <c r="C17" s="11" t="s">
        <v>27</v>
      </c>
      <c r="D17" s="8"/>
      <c r="E17" s="10">
        <v>1</v>
      </c>
      <c r="F17" s="10">
        <f>D17*E17</f>
        <v>0</v>
      </c>
      <c r="G17" s="11" t="s">
        <v>28</v>
      </c>
    </row>
    <row r="18" spans="1:8" ht="21.95" customHeight="1">
      <c r="A18" s="11" t="s">
        <v>29</v>
      </c>
      <c r="B18" s="11" t="s">
        <v>30</v>
      </c>
      <c r="C18" s="11" t="s">
        <v>31</v>
      </c>
      <c r="D18" s="8">
        <v>4000</v>
      </c>
      <c r="E18" s="10">
        <v>1</v>
      </c>
      <c r="F18" s="10">
        <f t="shared" si="0"/>
        <v>4000</v>
      </c>
      <c r="G18" s="11" t="s">
        <v>32</v>
      </c>
    </row>
    <row r="19" spans="1:8" ht="33.950000000000003" customHeight="1">
      <c r="A19" s="11" t="s">
        <v>29</v>
      </c>
      <c r="B19" s="11" t="s">
        <v>33</v>
      </c>
      <c r="C19" s="11" t="s">
        <v>34</v>
      </c>
      <c r="D19" s="8">
        <v>2000</v>
      </c>
      <c r="E19" s="10">
        <v>1</v>
      </c>
      <c r="F19" s="10">
        <f t="shared" si="0"/>
        <v>2000</v>
      </c>
      <c r="G19" s="11" t="s">
        <v>32</v>
      </c>
    </row>
    <row r="20" spans="1:8" ht="39.950000000000003" customHeight="1">
      <c r="A20" s="11" t="s">
        <v>29</v>
      </c>
      <c r="B20" s="11" t="s">
        <v>35</v>
      </c>
      <c r="C20" s="11" t="s">
        <v>34</v>
      </c>
      <c r="D20" s="8"/>
      <c r="E20" s="10">
        <v>1</v>
      </c>
      <c r="F20" s="10">
        <f t="shared" si="0"/>
        <v>0</v>
      </c>
      <c r="G20" s="11" t="s">
        <v>36</v>
      </c>
    </row>
    <row r="21" spans="1:8" ht="21.95" customHeight="1">
      <c r="A21" s="7"/>
      <c r="B21" s="7"/>
      <c r="C21" s="7"/>
      <c r="D21" s="7"/>
      <c r="E21" s="7"/>
      <c r="F21" s="7"/>
      <c r="G21" s="7"/>
      <c r="H21" s="7"/>
    </row>
    <row r="22" spans="1:8" ht="21.95" customHeight="1">
      <c r="A22" s="7"/>
      <c r="B22" s="7"/>
      <c r="C22" s="7"/>
      <c r="D22" s="7"/>
      <c r="E22" s="7"/>
      <c r="F22" s="7"/>
      <c r="G22" s="7"/>
      <c r="H22" s="7"/>
    </row>
    <row r="23" spans="1:8" ht="30" customHeight="1">
      <c r="A23" s="4" t="s">
        <v>37</v>
      </c>
      <c r="B23" s="4"/>
      <c r="C23" s="4"/>
      <c r="D23" s="4"/>
      <c r="E23" s="4"/>
      <c r="F23" s="4"/>
      <c r="G23" s="4"/>
      <c r="H23" s="4"/>
    </row>
    <row r="24" spans="1:8" ht="33.950000000000003" customHeight="1">
      <c r="A24" s="12" t="s">
        <v>38</v>
      </c>
      <c r="B24" s="13" t="s">
        <v>39</v>
      </c>
      <c r="C24" s="13" t="s">
        <v>40</v>
      </c>
      <c r="D24" s="13" t="s">
        <v>45</v>
      </c>
      <c r="E24" s="13" t="s">
        <v>46</v>
      </c>
      <c r="F24" s="13" t="s">
        <v>41</v>
      </c>
      <c r="G24" s="13" t="s">
        <v>6</v>
      </c>
    </row>
    <row r="25" spans="1:8" ht="21.95" customHeight="1">
      <c r="A25" s="14">
        <v>1</v>
      </c>
      <c r="B25" s="15">
        <v>1200</v>
      </c>
      <c r="C25" s="16">
        <v>498</v>
      </c>
      <c r="D25" s="17">
        <v>0.435</v>
      </c>
      <c r="E25" s="18">
        <f>MAX(0,($B$6-B25))</f>
        <v>6600</v>
      </c>
      <c r="F25" s="19">
        <f t="shared" ref="F25:F33" si="1">E25*D25</f>
        <v>2871</v>
      </c>
      <c r="G25" s="19">
        <f>C25+F25</f>
        <v>3369</v>
      </c>
    </row>
    <row r="26" spans="1:8" ht="21.95" customHeight="1">
      <c r="A26" s="14">
        <v>2</v>
      </c>
      <c r="B26" s="15">
        <v>3600</v>
      </c>
      <c r="C26" s="16">
        <v>858</v>
      </c>
      <c r="D26" s="17">
        <v>0.29499999999999998</v>
      </c>
      <c r="E26" s="18">
        <f t="shared" ref="E26:E33" si="2">MAX(0,($B$6-B26))</f>
        <v>4200</v>
      </c>
      <c r="F26" s="19">
        <f t="shared" si="1"/>
        <v>1239</v>
      </c>
      <c r="G26" s="19">
        <f>C26+F26</f>
        <v>2097</v>
      </c>
    </row>
    <row r="27" spans="1:8" ht="21.95" customHeight="1">
      <c r="A27" s="14">
        <v>3</v>
      </c>
      <c r="B27" s="15">
        <v>7200</v>
      </c>
      <c r="C27" s="16">
        <v>1218</v>
      </c>
      <c r="D27" s="17">
        <v>0.222</v>
      </c>
      <c r="E27" s="18">
        <f t="shared" si="2"/>
        <v>600</v>
      </c>
      <c r="F27" s="19">
        <f t="shared" si="1"/>
        <v>133.19999999999999</v>
      </c>
      <c r="G27" s="19">
        <f t="shared" ref="G27:G33" si="3">C27+F27</f>
        <v>1351.2</v>
      </c>
    </row>
    <row r="28" spans="1:8" ht="21.95" customHeight="1">
      <c r="A28" s="14">
        <v>4</v>
      </c>
      <c r="B28" s="15">
        <v>18000</v>
      </c>
      <c r="C28" s="16">
        <v>2178</v>
      </c>
      <c r="D28" s="17">
        <v>0.16900000000000001</v>
      </c>
      <c r="E28" s="18">
        <f t="shared" si="2"/>
        <v>0</v>
      </c>
      <c r="F28" s="19">
        <f t="shared" si="1"/>
        <v>0</v>
      </c>
      <c r="G28" s="19">
        <f t="shared" si="3"/>
        <v>2178</v>
      </c>
    </row>
    <row r="29" spans="1:8" ht="21.95" customHeight="1">
      <c r="A29" s="14">
        <v>5</v>
      </c>
      <c r="B29" s="15">
        <v>48000</v>
      </c>
      <c r="C29" s="16">
        <v>3378</v>
      </c>
      <c r="D29" s="17">
        <v>0.10100000000000001</v>
      </c>
      <c r="E29" s="18">
        <f t="shared" si="2"/>
        <v>0</v>
      </c>
      <c r="F29" s="19">
        <f t="shared" si="1"/>
        <v>0</v>
      </c>
      <c r="G29" s="19">
        <f t="shared" si="3"/>
        <v>3378</v>
      </c>
    </row>
    <row r="30" spans="1:8" ht="21.95" customHeight="1">
      <c r="A30" s="14">
        <v>6</v>
      </c>
      <c r="B30" s="15">
        <v>120000</v>
      </c>
      <c r="C30" s="16">
        <v>5178</v>
      </c>
      <c r="D30" s="17">
        <v>6.3E-2</v>
      </c>
      <c r="E30" s="18">
        <f t="shared" si="2"/>
        <v>0</v>
      </c>
      <c r="F30" s="19">
        <f t="shared" si="1"/>
        <v>0</v>
      </c>
      <c r="G30" s="19">
        <f t="shared" si="3"/>
        <v>5178</v>
      </c>
    </row>
    <row r="31" spans="1:8" ht="21.95" customHeight="1">
      <c r="A31" s="14">
        <v>7</v>
      </c>
      <c r="B31" s="15">
        <v>300000</v>
      </c>
      <c r="C31" s="16">
        <v>7698</v>
      </c>
      <c r="D31" s="17">
        <v>3.7999999999999999E-2</v>
      </c>
      <c r="E31" s="18">
        <f t="shared" si="2"/>
        <v>0</v>
      </c>
      <c r="F31" s="19">
        <f t="shared" si="1"/>
        <v>0</v>
      </c>
      <c r="G31" s="19">
        <f t="shared" si="3"/>
        <v>7698</v>
      </c>
    </row>
    <row r="32" spans="1:8" ht="21.95" customHeight="1">
      <c r="A32" s="14">
        <v>8</v>
      </c>
      <c r="B32" s="15">
        <v>708000</v>
      </c>
      <c r="C32" s="16">
        <v>12750</v>
      </c>
      <c r="D32" s="17">
        <v>2.7E-2</v>
      </c>
      <c r="E32" s="18">
        <f t="shared" si="2"/>
        <v>0</v>
      </c>
      <c r="F32" s="19">
        <f t="shared" si="1"/>
        <v>0</v>
      </c>
      <c r="G32" s="19">
        <f t="shared" si="3"/>
        <v>12750</v>
      </c>
    </row>
    <row r="33" spans="1:8" ht="21.95" customHeight="1">
      <c r="A33" s="14">
        <v>9</v>
      </c>
      <c r="B33" s="15">
        <v>1200000</v>
      </c>
      <c r="C33" s="16">
        <v>16350</v>
      </c>
      <c r="D33" s="17">
        <v>0.02</v>
      </c>
      <c r="E33" s="18">
        <f t="shared" si="2"/>
        <v>0</v>
      </c>
      <c r="F33" s="19">
        <f t="shared" si="1"/>
        <v>0</v>
      </c>
      <c r="G33" s="19">
        <f t="shared" si="3"/>
        <v>16350</v>
      </c>
    </row>
    <row r="34" spans="1:8" ht="21.95" customHeight="1">
      <c r="A34" s="7"/>
      <c r="B34" s="7"/>
      <c r="C34" s="7"/>
      <c r="D34" s="7"/>
      <c r="E34" s="7"/>
      <c r="F34" s="7"/>
      <c r="G34" s="7"/>
      <c r="H34" s="7"/>
    </row>
    <row r="35" spans="1:8" ht="21.95" customHeight="1">
      <c r="A35" s="7"/>
      <c r="B35" s="7"/>
      <c r="C35" s="7"/>
      <c r="D35" s="7"/>
      <c r="E35" s="7"/>
      <c r="F35" s="7"/>
      <c r="G35" s="7"/>
      <c r="H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Eder Cruz</cp:lastModifiedBy>
  <dcterms:modified xsi:type="dcterms:W3CDTF">2026-04-27T12:15:49Z</dcterms:modified>
</cp:coreProperties>
</file>